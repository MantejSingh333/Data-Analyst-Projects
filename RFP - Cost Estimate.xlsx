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te\OneDrive\Desktop\L6\"/>
    </mc:Choice>
  </mc:AlternateContent>
  <xr:revisionPtr revIDLastSave="0" documentId="13_ncr:1_{9AAFC30D-32B5-4004-BC0A-396B4E07B362}" xr6:coauthVersionLast="47" xr6:coauthVersionMax="47" xr10:uidLastSave="{00000000-0000-0000-0000-000000000000}"/>
  <bookViews>
    <workbookView xWindow="-110" yWindow="-110" windowWidth="38620" windowHeight="21100" xr2:uid="{F0030EAA-922E-446A-AEED-FB0403361BFD}"/>
  </bookViews>
  <sheets>
    <sheet name="Cost Estimat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3" l="1"/>
  <c r="B23" i="3"/>
  <c r="B20" i="3"/>
  <c r="B17" i="3"/>
  <c r="D5" i="3"/>
  <c r="C5" i="3"/>
  <c r="B5" i="3"/>
  <c r="B8" i="3" s="1"/>
  <c r="D8" i="3"/>
  <c r="C13" i="3"/>
  <c r="C14" i="3" s="1"/>
  <c r="D13" i="3"/>
  <c r="D14" i="3" s="1"/>
  <c r="B13" i="3"/>
  <c r="B14" i="3" s="1"/>
  <c r="C10" i="3"/>
  <c r="C11" i="3" s="1"/>
  <c r="D10" i="3"/>
  <c r="D11" i="3" s="1"/>
  <c r="B10" i="3"/>
  <c r="B11" i="3" s="1"/>
  <c r="E2" i="3"/>
  <c r="E14" i="3" l="1"/>
  <c r="E11" i="3"/>
  <c r="E5" i="3"/>
  <c r="C8" i="3"/>
  <c r="E8" i="3" l="1"/>
</calcChain>
</file>

<file path=xl/sharedStrings.xml><?xml version="1.0" encoding="utf-8"?>
<sst xmlns="http://schemas.openxmlformats.org/spreadsheetml/2006/main" count="22" uniqueCount="22">
  <si>
    <t>Average sessions per month</t>
  </si>
  <si>
    <t>Total</t>
  </si>
  <si>
    <t>Year 6</t>
  </si>
  <si>
    <t>Year 7</t>
  </si>
  <si>
    <t>Year 8</t>
  </si>
  <si>
    <t>Assumptions/Variables</t>
  </si>
  <si>
    <t>Active User Ratio</t>
  </si>
  <si>
    <t>Number of Students</t>
  </si>
  <si>
    <t>Number of Input Tokens per sessions</t>
  </si>
  <si>
    <t>Number of Input Characters per sessions</t>
  </si>
  <si>
    <t>Number of Output Tokens per sessions</t>
  </si>
  <si>
    <t>Cost of Gemini 2.5 Flash Lite Input per 1,000,000 Tokens</t>
  </si>
  <si>
    <t>Cost of Gemini 2.5 Flash Lite Output per 1,000,000 Tokens</t>
  </si>
  <si>
    <t>Number of Input Tokens per month</t>
  </si>
  <si>
    <t>Total Sessions per month</t>
  </si>
  <si>
    <t>Number of Output Tokens per month</t>
  </si>
  <si>
    <t>Number of Input Characters per month</t>
  </si>
  <si>
    <t>Cost of Gemini 2.5 Flash Lite Input per month</t>
  </si>
  <si>
    <t>Cost of Gemini 2.5 Flash Lite Output per month</t>
  </si>
  <si>
    <t>NLP Syntax Analysis Cost per 1000 characters</t>
  </si>
  <si>
    <t>NLP Syntax Analysis Cost per month</t>
  </si>
  <si>
    <t>Final Cost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</si>
</sst>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.000000_-;\-&quot;$&quot;* #,##0.000000_-;_-&quot;$&quot;* &quot;-&quot;????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3" fontId="0" fillId="0" borderId="0" xfId="0" applyNumberFormat="1"/>
    <xf numFmtId="44" fontId="0" fillId="0" borderId="0" xfId="1" applyFont="1"/>
    <xf numFmtId="164" fontId="0" fillId="0" borderId="0" xfId="1" applyNumberFormat="1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  <xf numFmtId="44" fontId="3" fillId="0" borderId="0" xfId="1" applyFont="1"/>
    <xf numFmtId="164" fontId="3" fillId="0" borderId="0" xfId="1" applyNumberFormat="1" applyFont="1"/>
    <xf numFmtId="44" fontId="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CE20E-4115-4F73-A226-574DC091E99F}">
  <dimension ref="A1:E25"/>
  <sheetViews>
    <sheetView tabSelected="1" workbookViewId="0">
      <selection activeCell="B26" sqref="B26"/>
    </sheetView>
  </sheetViews>
  <sheetFormatPr defaultRowHeight="14.5" x14ac:dyDescent="0.35"/>
  <cols>
    <col min="1" max="1" width="48.36328125" customWidth="1"/>
    <col min="2" max="2" width="16.54296875" customWidth="1"/>
    <col min="3" max="3" width="14.81640625" customWidth="1"/>
    <col min="4" max="4" width="18.54296875" customWidth="1"/>
    <col min="5" max="5" width="16.6328125" customWidth="1"/>
  </cols>
  <sheetData>
    <row r="1" spans="1:5" x14ac:dyDescent="0.35">
      <c r="A1" s="4" t="s">
        <v>5</v>
      </c>
      <c r="B1" s="4" t="s">
        <v>2</v>
      </c>
      <c r="C1" s="4" t="s">
        <v>3</v>
      </c>
      <c r="D1" s="4" t="s">
        <v>4</v>
      </c>
      <c r="E1" s="4" t="s">
        <v>1</v>
      </c>
    </row>
    <row r="2" spans="1:5" x14ac:dyDescent="0.35">
      <c r="A2" s="4" t="s">
        <v>7</v>
      </c>
      <c r="B2" s="5">
        <v>40000</v>
      </c>
      <c r="C2" s="5">
        <v>40000</v>
      </c>
      <c r="D2" s="5">
        <v>40000</v>
      </c>
      <c r="E2" s="1">
        <f>B2+C2+D2</f>
        <v>120000</v>
      </c>
    </row>
    <row r="3" spans="1:5" x14ac:dyDescent="0.35">
      <c r="A3" s="4" t="s">
        <v>6</v>
      </c>
      <c r="B3" s="6">
        <v>0.8</v>
      </c>
      <c r="C3" s="6">
        <v>0.8</v>
      </c>
      <c r="D3" s="6">
        <v>0.8</v>
      </c>
    </row>
    <row r="4" spans="1:5" x14ac:dyDescent="0.35">
      <c r="A4" s="4" t="s">
        <v>0</v>
      </c>
      <c r="B4" s="6">
        <v>10</v>
      </c>
      <c r="C4" s="6">
        <v>10</v>
      </c>
      <c r="D4" s="6">
        <v>10</v>
      </c>
    </row>
    <row r="5" spans="1:5" x14ac:dyDescent="0.35">
      <c r="A5" s="4" t="s">
        <v>14</v>
      </c>
      <c r="B5" s="1">
        <f>B2*B3*B4</f>
        <v>320000</v>
      </c>
      <c r="C5" s="1">
        <f>C2*C3*C4</f>
        <v>320000</v>
      </c>
      <c r="D5" s="1">
        <f>D2*D3*D4</f>
        <v>320000</v>
      </c>
      <c r="E5" s="1">
        <f>B5+C5+D5</f>
        <v>960000</v>
      </c>
    </row>
    <row r="6" spans="1:5" x14ac:dyDescent="0.35">
      <c r="A6" s="4"/>
      <c r="B6" s="1"/>
      <c r="C6" s="1"/>
      <c r="D6" s="1"/>
      <c r="E6" s="1"/>
    </row>
    <row r="7" spans="1:5" x14ac:dyDescent="0.35">
      <c r="A7" s="4" t="s">
        <v>8</v>
      </c>
      <c r="B7" s="6">
        <v>300</v>
      </c>
      <c r="C7" s="6">
        <v>450</v>
      </c>
      <c r="D7" s="6">
        <v>600</v>
      </c>
    </row>
    <row r="8" spans="1:5" x14ac:dyDescent="0.35">
      <c r="A8" s="4" t="s">
        <v>13</v>
      </c>
      <c r="B8" s="1">
        <f>B5*B7</f>
        <v>96000000</v>
      </c>
      <c r="C8" s="1">
        <f t="shared" ref="C8:D8" si="0">C5*C7</f>
        <v>144000000</v>
      </c>
      <c r="D8" s="1">
        <f t="shared" si="0"/>
        <v>192000000</v>
      </c>
      <c r="E8" s="1">
        <f>B8+C8+D8</f>
        <v>432000000</v>
      </c>
    </row>
    <row r="9" spans="1:5" x14ac:dyDescent="0.35">
      <c r="A9" s="4"/>
      <c r="B9" s="1"/>
      <c r="C9" s="1"/>
      <c r="D9" s="1"/>
      <c r="E9" s="1"/>
    </row>
    <row r="10" spans="1:5" x14ac:dyDescent="0.35">
      <c r="A10" s="4" t="s">
        <v>9</v>
      </c>
      <c r="B10" s="5">
        <f>B7*4</f>
        <v>1200</v>
      </c>
      <c r="C10" s="5">
        <f>C7*4</f>
        <v>1800</v>
      </c>
      <c r="D10" s="5">
        <f>D7*4</f>
        <v>2400</v>
      </c>
      <c r="E10" s="1"/>
    </row>
    <row r="11" spans="1:5" x14ac:dyDescent="0.35">
      <c r="A11" s="4" t="s">
        <v>16</v>
      </c>
      <c r="B11" s="1">
        <f>B5*B10</f>
        <v>384000000</v>
      </c>
      <c r="C11" s="1">
        <f>C5*C10</f>
        <v>576000000</v>
      </c>
      <c r="D11" s="1">
        <f>D5*D10</f>
        <v>768000000</v>
      </c>
      <c r="E11" s="1">
        <f>B11+C11+D11</f>
        <v>1728000000</v>
      </c>
    </row>
    <row r="12" spans="1:5" x14ac:dyDescent="0.35">
      <c r="A12" s="4"/>
      <c r="B12" s="1"/>
      <c r="C12" s="1"/>
      <c r="D12" s="1"/>
      <c r="E12" s="1"/>
    </row>
    <row r="13" spans="1:5" x14ac:dyDescent="0.35">
      <c r="A13" s="4" t="s">
        <v>10</v>
      </c>
      <c r="B13" s="6">
        <f>B7*0.5</f>
        <v>150</v>
      </c>
      <c r="C13" s="6">
        <f>C7*0.5</f>
        <v>225</v>
      </c>
      <c r="D13" s="6">
        <f>D7*0.5</f>
        <v>300</v>
      </c>
    </row>
    <row r="14" spans="1:5" x14ac:dyDescent="0.35">
      <c r="A14" s="4" t="s">
        <v>15</v>
      </c>
      <c r="B14" s="1">
        <f>B5*B13</f>
        <v>48000000</v>
      </c>
      <c r="C14" s="1">
        <f>C5*C13</f>
        <v>72000000</v>
      </c>
      <c r="D14" s="1">
        <f>D5*D13</f>
        <v>96000000</v>
      </c>
      <c r="E14" s="1">
        <f>B14+C14+D14</f>
        <v>216000000</v>
      </c>
    </row>
    <row r="15" spans="1:5" x14ac:dyDescent="0.35">
      <c r="A15" s="4"/>
      <c r="B15" s="1"/>
      <c r="C15" s="1"/>
      <c r="D15" s="1"/>
      <c r="E15" s="1"/>
    </row>
    <row r="16" spans="1:5" x14ac:dyDescent="0.35">
      <c r="A16" s="4" t="s">
        <v>11</v>
      </c>
      <c r="B16" s="7">
        <v>0.1</v>
      </c>
      <c r="C16" s="2"/>
      <c r="D16" s="2"/>
    </row>
    <row r="17" spans="1:5" x14ac:dyDescent="0.35">
      <c r="A17" s="4" t="s">
        <v>17</v>
      </c>
      <c r="B17" s="2">
        <f>E8*B16/1000000</f>
        <v>43.2</v>
      </c>
      <c r="C17" s="2"/>
      <c r="D17" s="2"/>
      <c r="E17" s="2"/>
    </row>
    <row r="18" spans="1:5" x14ac:dyDescent="0.35">
      <c r="A18" s="4"/>
      <c r="B18" s="2"/>
      <c r="C18" s="2"/>
      <c r="D18" s="2"/>
      <c r="E18" s="2"/>
    </row>
    <row r="19" spans="1:5" x14ac:dyDescent="0.35">
      <c r="A19" s="4" t="s">
        <v>12</v>
      </c>
      <c r="B19" s="7">
        <v>0.4</v>
      </c>
      <c r="C19" s="2"/>
      <c r="D19" s="2"/>
    </row>
    <row r="20" spans="1:5" x14ac:dyDescent="0.35">
      <c r="A20" s="4" t="s">
        <v>18</v>
      </c>
      <c r="B20" s="2">
        <f>E14*B19/1000000</f>
        <v>86.4</v>
      </c>
      <c r="C20" s="2"/>
      <c r="D20" s="2"/>
      <c r="E20" s="2"/>
    </row>
    <row r="21" spans="1:5" x14ac:dyDescent="0.35">
      <c r="A21" s="4"/>
      <c r="B21" s="2"/>
      <c r="C21" s="2"/>
      <c r="D21" s="2"/>
      <c r="E21" s="2"/>
    </row>
    <row r="22" spans="1:5" x14ac:dyDescent="0.35">
      <c r="A22" s="4" t="s">
        <v>19</v>
      </c>
      <c r="B22" s="8">
        <v>1.25E-4</v>
      </c>
      <c r="C22" s="3"/>
      <c r="D22" s="3"/>
    </row>
    <row r="23" spans="1:5" x14ac:dyDescent="0.35">
      <c r="A23" s="4" t="s">
        <v>20</v>
      </c>
      <c r="B23" s="2">
        <f>E11*B22/1000</f>
        <v>216</v>
      </c>
      <c r="C23" s="2"/>
      <c r="D23" s="2"/>
      <c r="E23" s="2"/>
    </row>
    <row r="24" spans="1:5" x14ac:dyDescent="0.35">
      <c r="B24" s="2"/>
      <c r="C24" s="2"/>
      <c r="D24" s="2"/>
      <c r="E24" s="2"/>
    </row>
    <row r="25" spans="1:5" x14ac:dyDescent="0.35">
      <c r="A25" s="4" t="s">
        <v>21</v>
      </c>
      <c r="B25" s="9">
        <f>B17+B20+B23</f>
        <v>345.6</v>
      </c>
      <c r="D25" s="4"/>
      <c r="E25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DF8FEF962EAB4AB45111484E498ED5" ma:contentTypeVersion="10" ma:contentTypeDescription="Create a new document." ma:contentTypeScope="" ma:versionID="c3dc5ef2a9ef15b02b266d9d7705dcf2">
  <xsd:schema xmlns:xsd="http://www.w3.org/2001/XMLSchema" xmlns:xs="http://www.w3.org/2001/XMLSchema" xmlns:p="http://schemas.microsoft.com/office/2006/metadata/properties" xmlns:ns3="a10b7557-d4b7-4889-9d97-c13006b9dd91" targetNamespace="http://schemas.microsoft.com/office/2006/metadata/properties" ma:root="true" ma:fieldsID="3cafb6c1b8117fb4b9c835150857a245" ns3:_="">
    <xsd:import namespace="a10b7557-d4b7-4889-9d97-c13006b9dd9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b7557-d4b7-4889-9d97-c13006b9dd9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10b7557-d4b7-4889-9d97-c13006b9dd9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30DE4A-3615-45D5-B065-BFCF7A3A86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0b7557-d4b7-4889-9d97-c13006b9dd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5FDF7C-7D22-4A86-9222-0B8A790EB0A0}">
  <ds:schemaRefs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a10b7557-d4b7-4889-9d97-c13006b9dd91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F48B43B-98AB-4BC6-B6A5-39CE48075C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Estimate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Mantej Singh</dc:creator>
  <cp:lastModifiedBy>Mantej Singh</cp:lastModifiedBy>
  <dcterms:created xsi:type="dcterms:W3CDTF">2025-10-21T00:34:23Z</dcterms:created>
  <dcterms:modified xsi:type="dcterms:W3CDTF">2025-10-24T00:43:30Z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0x01010020DF8FEF962EAB4AB45111484E498ED5</vt:lpwstr>
  </property>
</Properties>
</file>